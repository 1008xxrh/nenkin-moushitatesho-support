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テストケース" sheetId="2" state="visible" r:id="rId2"/>
    <sheet xmlns:r="http://schemas.openxmlformats.org/officeDocument/2006/relationships" name="画面の見本" sheetId="3" state="visible" r:id="rId3"/>
  </sheets>
  <definedNames>
    <definedName name="_xlnm._FilterDatabase" localSheetId="1" hidden="1">'テストケース'!$A$1:$I$41</definedName>
    <definedName name="_xlnm.Print_Titles" localSheetId="1">'テストケース'!$1:$1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66665E"/>
      <sz val="9"/>
    </font>
    <font>
      <name val="Yu Gothic"/>
      <b val="1"/>
      <color rgb="00345A4C"/>
      <sz val="11"/>
    </font>
    <font>
      <name val="Yu Gothic"/>
      <sz val="10"/>
    </font>
    <font>
      <name val="Yu Gothic"/>
      <b val="1"/>
      <color rgb="00FFFFFF"/>
      <sz val="10"/>
    </font>
    <font>
      <name val="Yu Gothic"/>
      <b val="1"/>
      <color rgb="00A3402F"/>
      <sz val="10"/>
    </font>
    <font>
      <name val="Yu Gothic"/>
      <b val="1"/>
      <sz val="10"/>
    </font>
  </fonts>
  <fills count="5">
    <fill>
      <patternFill/>
    </fill>
    <fill>
      <patternFill patternType="gray125"/>
    </fill>
    <fill>
      <patternFill patternType="solid">
        <fgColor rgb="00FBE9E4"/>
      </patternFill>
    </fill>
    <fill>
      <patternFill patternType="solid">
        <fgColor rgb="00FFF7D6"/>
      </patternFill>
    </fill>
    <fill>
      <patternFill patternType="solid">
        <fgColor rgb="00345A4C"/>
      </patternFill>
    </fill>
  </fills>
  <borders count="2">
    <border>
      <left/>
      <right/>
      <top/>
      <bottom/>
      <diagonal/>
    </border>
    <border>
      <left style="thin">
        <color rgb="00CFC8B6"/>
      </left>
      <right style="thin">
        <color rgb="00CFC8B6"/>
      </right>
      <top style="thin">
        <color rgb="00CFC8B6"/>
      </top>
      <bottom style="thin">
        <color rgb="00CFC8B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2476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476500" cy="5353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476500" cy="5353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2476500" cy="5353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2476500" cy="5353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2286000" cy="405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 ht="24" customHeight="1">
      <c r="B1" s="1" t="inlineStr">
        <is>
          <t>申立書サポート（非公式）テストケース表</t>
        </is>
      </c>
    </row>
    <row r="2">
      <c r="B2" s="2" t="inlineStr">
        <is>
          <t>作成日：2026年10月23日。作者がAI（Claude）と一緒に作りました</t>
        </is>
      </c>
    </row>
    <row r="4">
      <c r="B4" s="3" t="inlineStr">
        <is>
          <t>対象</t>
        </is>
      </c>
    </row>
    <row r="5">
      <c r="B5" s="4" t="inlineStr">
        <is>
          <t>公開ページ</t>
        </is>
      </c>
      <c r="C5" s="4" t="inlineStr">
        <is>
          <t>https://1008xxrh.github.io/nenkin-moushitatesho-support/</t>
        </is>
      </c>
    </row>
    <row r="6">
      <c r="B6" s="4" t="inlineStr">
        <is>
          <t>リポジトリ</t>
        </is>
      </c>
      <c r="C6" s="4" t="inlineStr">
        <is>
          <t>https://github.com/1008xxrh/nenkin-moushitatesho-support</t>
        </is>
      </c>
    </row>
    <row r="7">
      <c r="B7" s="4" t="inlineStr">
        <is>
          <t>対象の版</t>
        </is>
      </c>
      <c r="C7" s="4" t="inlineStr">
        <is>
          <t>2026年10月21日に公開した版（リポジトリの最新の変更 fd8cf2e）</t>
        </is>
      </c>
    </row>
    <row r="8">
      <c r="B8" s="4" t="inlineStr">
        <is>
          <t>入力のお願い</t>
        </is>
      </c>
      <c r="C8" s="4" t="inlineStr">
        <is>
          <t>架空の内容で入力してください（病名・実在の病院名・本名は入れない）。データを消したいときは、下書き画面の「最初からやり直す」か、シークレットウィンドウを使ってください</t>
        </is>
      </c>
    </row>
    <row r="9">
      <c r="B9" s="4" t="inlineStr">
        <is>
          <t>作者側の確かめ方</t>
        </is>
      </c>
      <c r="C9" s="4" t="inlineStr">
        <is>
          <t>パソコンのChromium（Chromeと同じ中身）を、スマホの幅（390・320）にして、表の想定結果を確かめました（「作者側の確認」の列）。iPhoneのSafariは、作者が以前に一部を見ています。今回の表のすべては見ていません</t>
        </is>
      </c>
    </row>
    <row r="10">
      <c r="B10" s="4" t="inlineStr">
        <is>
          <t>コードの場所</t>
        </is>
      </c>
      <c r="C10" s="4" t="inlineStr">
        <is>
          <t>公開リポジトリにあるのは、配布用の index.html だけです（約1.7MB。Excelを作る部品 ExcelJS を中に埋め込んであります）。アプリ部分は、その埋め込みの前後です。編集用のファイル（index.src.html）と本体のテスト（116ファイル）は、公開していない作業場所にあります</t>
        </is>
      </c>
    </row>
    <row r="11">
      <c r="B11" s="4" t="inlineStr">
        <is>
          <t>先に知っておいてほしいこと</t>
        </is>
      </c>
      <c r="C11" s="4" t="inlineStr">
        <is>
          <t>・READMEは「index.src.html を編集して npm test」と書いていますが、そのファイルは公開リポジトリにありません（説明がずれているのは把握済み）
・公開リポジトリの seikatsu-jokyo/tests/ninteibi のテスト8本は古いままで、動かすと失敗します（把握済み）</t>
        </is>
      </c>
    </row>
    <row r="13">
      <c r="B13" s="3" t="inlineStr">
        <is>
          <t>ここは自信あり！ポイント</t>
        </is>
      </c>
    </row>
    <row r="14">
      <c r="B14" s="4" t="inlineStr">
        <is>
          <t>・入力内容を外へ送らない</t>
        </is>
      </c>
      <c r="C14" s="4" t="inlineStr">
        <is>
          <t>外へ通信する命令がありません。最初から下書き・Excel出力・DL保存・ファイルから戻すまで操作しても、通信はページを開いた1回だけでした</t>
        </is>
      </c>
    </row>
    <row r="15">
      <c r="B15" s="4" t="inlineStr">
        <is>
          <t>・データを失わせない作り</t>
        </is>
      </c>
      <c r="C15" s="4" t="inlineStr">
        <is>
          <t>入力するたびに自動で保存し、画面を離れるときにも保存します。開き直すと「続きから再開」。DL保存（内容が同じならファイルを増やさない）と、ファイルから戻す（確認の画面あり・ほかのファイルは読み込まない）</t>
        </is>
      </c>
    </row>
    <row r="16">
      <c r="B16" s="4" t="inlineStr">
        <is>
          <t>・様式のルールに沿った書き出し</t>
        </is>
      </c>
      <c r="C16" s="4" t="inlineStr">
        <is>
          <t>日本年金機構の公式のExcelにそのまま書き込みます。5年を超える期間は3〜5年ごとに区切る、元号の切り替わり（平成31年4月／令和1年5月）、6行目からは続紙を作る</t>
        </is>
      </c>
    </row>
    <row r="17">
      <c r="B17" s="4" t="inlineStr">
        <is>
          <t>・通院していない時期を自動で見つける</t>
        </is>
      </c>
      <c r="C17" s="4" t="inlineStr">
        <is>
          <t>通院の記録のすき間を見つけて、その時期の理由を聞きます</t>
        </is>
      </c>
    </row>
    <row r="18">
      <c r="B18" s="4" t="inlineStr">
        <is>
          <t>・頭の負担を減らす作り</t>
        </is>
      </c>
      <c r="C18" s="4" t="inlineStr">
        <is>
          <t>1問ずつ聞く。答えなくても進める。途中でやめられる。章の入口で「疲れてきたら、ここまでにしましょう」</t>
        </is>
      </c>
    </row>
    <row r="19">
      <c r="B19" s="4" t="inlineStr">
        <is>
          <t>・入力した文字がHTMLとして動かない</t>
        </is>
      </c>
      <c r="C19" s="4" t="inlineStr">
        <is>
          <t>病院名などに入れたタグは、文字のまま表示されます</t>
        </is>
      </c>
    </row>
    <row r="21">
      <c r="B21" s="3" t="inlineStr">
        <is>
          <t>重点チェックポイント</t>
        </is>
      </c>
    </row>
    <row r="22">
      <c r="B22" s="5" t="inlineStr">
        <is>
          <t>・2つのタブで開いたときの保存</t>
        </is>
      </c>
      <c r="C22" s="5" t="inlineStr">
        <is>
          <t>古いタブの操作で、新しいタブの入力が消えるのを再現しました（表のNo.29）。本当に起きる場面か、どう直すのがよいかを見てほしいです。このアプリは「生活状況をふりかえる」画面をわざと別のタブで開く作りなので、そことの関係も気になっています</t>
        </is>
      </c>
    </row>
    <row r="23">
      <c r="B23" s="5" t="inlineStr">
        <is>
          <t>・保存と読み込みの丈夫さ</t>
        </is>
      </c>
      <c r="C23" s="5" t="inlineStr">
        <is>
          <t>iPhoneのSafariで、DL保存が本当にファイルとして保存されるか。しばらく開かないと保存が消える仕組み（iPhone）への備えが十分か</t>
        </is>
      </c>
    </row>
    <row r="24">
      <c r="B24" s="5" t="inlineStr">
        <is>
          <t>・Excelの中身が様式どおりか</t>
        </is>
      </c>
      <c r="C24" s="5" t="inlineStr">
        <is>
          <t>セルの位置・続紙・元号。AIのレビューでは、ここを実際に確かめられませんでした</t>
        </is>
      </c>
    </row>
    <row r="25">
      <c r="B25" s="5" t="inlineStr">
        <is>
          <t>・小さい画面の配置画面</t>
        </is>
      </c>
      <c r="C25" s="5" t="inlineStr">
        <is>
          <t>幅320で手札が隠れる（No.37）</t>
        </is>
      </c>
    </row>
    <row r="26">
      <c r="B26" s="5" t="inlineStr">
        <is>
          <t>・押す所の大きさ</t>
        </is>
      </c>
      <c r="C26" s="5" t="inlineStr">
        <is>
          <t>44px未満の所がある（No.38）</t>
        </is>
      </c>
    </row>
    <row r="27">
      <c r="B27" s="5" t="inlineStr">
        <is>
          <t>・1人とAIで続けられる作りか</t>
        </is>
      </c>
      <c r="C27" s="5" t="inlineStr">
        <is>
          <t>コードの読みやすさや、今後の直しやすさについて、感想がほしいです</t>
        </is>
      </c>
    </row>
    <row r="29">
      <c r="B29" s="3" t="inlineStr">
        <is>
          <t>記入のしかた</t>
        </is>
      </c>
    </row>
    <row r="30">
      <c r="B30" s="6" t="inlineStr">
        <is>
          <t>どこに書くか</t>
        </is>
      </c>
      <c r="C30" s="6" t="inlineStr">
        <is>
          <t>「テストケース」シートの、黄色の2列（「結果」と「メモ」）にだけ書いてください。ほかの列は変えなくて大丈夫です</t>
        </is>
      </c>
    </row>
    <row r="31">
      <c r="B31" s="4" t="inlineStr">
        <is>
          <t>「結果」に書くもの</t>
        </is>
      </c>
      <c r="C31" s="4" t="inlineStr">
        <is>
          <t>OK／NG／保留／対象外 のどれか（セルを選ぶと一覧から選べます）</t>
        </is>
      </c>
    </row>
    <row r="32">
      <c r="B32" s="4" t="inlineStr">
        <is>
          <t>書き方の例</t>
        </is>
      </c>
      <c r="C32" s="4" t="inlineStr">
        <is>
          <t>結果：NG　メモ：iPhone 13・Safari。4・5枚目の手札が隠れて押せない</t>
        </is>
      </c>
    </row>
    <row r="33">
      <c r="B33" s="4" t="inlineStr">
        <is>
          <t>「重点」の印</t>
        </is>
      </c>
      <c r="C33" s="4" t="inlineStr">
        <is>
          <t>★＝重点的に見てほしい所。★★＝既知の不具合（再現済み）</t>
        </is>
      </c>
    </row>
    <row r="35">
      <c r="B35" s="3" t="inlineStr">
        <is>
          <t>進み具合（自動で数えます）</t>
        </is>
      </c>
    </row>
    <row r="36">
      <c r="B36" s="7" t="inlineStr">
        <is>
          <t>OK</t>
        </is>
      </c>
      <c r="C36" s="8">
        <f>COUNTIF(テストケース!$H$2:$H$41,"OK")</f>
        <v/>
      </c>
    </row>
    <row r="37">
      <c r="B37" s="7" t="inlineStr">
        <is>
          <t>NG</t>
        </is>
      </c>
      <c r="C37" s="8">
        <f>COUNTIF(テストケース!$H$2:$H$41,"NG")</f>
        <v/>
      </c>
    </row>
    <row r="38">
      <c r="B38" s="7" t="inlineStr">
        <is>
          <t>保留</t>
        </is>
      </c>
      <c r="C38" s="8">
        <f>COUNTIF(テストケース!$H$2:$H$41,"保留")</f>
        <v/>
      </c>
    </row>
    <row r="39">
      <c r="B39" s="7" t="inlineStr">
        <is>
          <t>対象外</t>
        </is>
      </c>
      <c r="C39" s="8">
        <f>COUNTIF(テストケース!$H$2:$H$41,"対象外")</f>
        <v/>
      </c>
    </row>
    <row r="40">
      <c r="B40" s="7" t="inlineStr">
        <is>
          <t>まだ書いていない</t>
        </is>
      </c>
      <c r="C40" s="8">
        <f>COUNTBLANK(テストケース!$H$2:$H$41)</f>
        <v/>
      </c>
    </row>
    <row r="41">
      <c r="B41" s="7" t="inlineStr">
        <is>
          <t>全部の件数</t>
        </is>
      </c>
      <c r="C41" s="8">
        <f>COUNTA(テストケース!$A$2:$A$41)</f>
        <v/>
      </c>
    </row>
  </sheetData>
  <mergeCells count="7">
    <mergeCell ref="B13:C13"/>
    <mergeCell ref="B21:C21"/>
    <mergeCell ref="B2:C2"/>
    <mergeCell ref="B29:C29"/>
    <mergeCell ref="B1:C1"/>
    <mergeCell ref="B35:C35"/>
    <mergeCell ref="B4:C4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26" customWidth="1" min="4" max="4"/>
    <col width="38" customWidth="1" min="5" max="5"/>
    <col width="60" customWidth="1" min="6" max="6"/>
    <col width="20" customWidth="1" min="7" max="7"/>
    <col width="9" customWidth="1" min="8" max="8"/>
    <col width="30" customWidth="1" min="9" max="9"/>
  </cols>
  <sheetData>
    <row r="1">
      <c r="A1" s="9" t="inlineStr">
        <is>
          <t>No</t>
        </is>
      </c>
      <c r="B1" s="9" t="inlineStr">
        <is>
          <t>区分</t>
        </is>
      </c>
      <c r="C1" s="9" t="inlineStr">
        <is>
          <t>重点</t>
        </is>
      </c>
      <c r="D1" s="9" t="inlineStr">
        <is>
          <t>確認内容</t>
        </is>
      </c>
      <c r="E1" s="9" t="inlineStr">
        <is>
          <t>想定入力（操作）</t>
        </is>
      </c>
      <c r="F1" s="9" t="inlineStr">
        <is>
          <t>想定結果</t>
        </is>
      </c>
      <c r="G1" s="9" t="inlineStr">
        <is>
          <t>作者側の確認</t>
        </is>
      </c>
      <c r="H1" s="9" t="inlineStr">
        <is>
          <t>結果</t>
        </is>
      </c>
      <c r="I1" s="9" t="inlineStr">
        <is>
          <t>メモ</t>
        </is>
      </c>
    </row>
    <row r="2">
      <c r="A2" s="10" t="n">
        <v>1</v>
      </c>
      <c r="B2" s="11" t="inlineStr">
        <is>
          <t>最初の画面</t>
        </is>
      </c>
      <c r="C2" s="10" t="inlineStr"/>
      <c r="D2" s="11" t="inlineStr">
        <is>
          <t>題名と、開閉できる5つの項目が出る</t>
        </is>
      </c>
      <c r="E2" s="11" t="inlineStr">
        <is>
          <t>公開ページを開く</t>
        </is>
      </c>
      <c r="F2" s="11" t="inlineStr">
        <is>
          <t>題名「申立書サポート（非公式）」。説明文の下に、開閉できる項目が5つ（アプリの流れ／このWebアプリでできること／このWebアプリで聞かないこと／保存について（サーバーには送信しません）／ご利用にあたって）。「DL保存したファイルから再開する」のリンクと「？」。下の帯は「DL保存」（まだ押せない）と「はじめる」</t>
        </is>
      </c>
      <c r="G2" s="11" t="inlineStr">
        <is>
          <t>確認済み（Chromium・幅390）</t>
        </is>
      </c>
      <c r="H2" s="12" t="n"/>
      <c r="I2" s="13" t="n"/>
    </row>
    <row r="3">
      <c r="A3" s="10" t="n">
        <v>2</v>
      </c>
      <c r="B3" s="11" t="inlineStr">
        <is>
          <t>最初の画面</t>
        </is>
      </c>
      <c r="C3" s="10" t="inlineStr"/>
      <c r="D3" s="11" t="inlineStr">
        <is>
          <t>「ご利用にあたって」の注意書き</t>
        </is>
      </c>
      <c r="E3" s="11" t="inlineStr">
        <is>
          <t>「ご利用にあたって」を開く</t>
        </is>
      </c>
      <c r="F3" s="11" t="inlineStr">
        <is>
          <t>4つの文が出る：非公式であること／下書きやExcelの正しさ・受給を保証しないこと／提出の前に年金事務所や社会保険労務士、地域の相談窓口などへの相談を勧めること／様式は日本年金機構のもので、新しくなると出力と合わなくなることがあること</t>
        </is>
      </c>
      <c r="G3" s="11" t="inlineStr">
        <is>
          <t>確認済み（Chromium・幅390）</t>
        </is>
      </c>
      <c r="H3" s="12" t="n"/>
      <c r="I3" s="13" t="n"/>
    </row>
    <row r="4">
      <c r="A4" s="10" t="n">
        <v>3</v>
      </c>
      <c r="B4" s="11" t="inlineStr">
        <is>
          <t>はじめの質問</t>
        </is>
      </c>
      <c r="C4" s="10" t="inlineStr"/>
      <c r="D4" s="11" t="inlineStr">
        <is>
          <t>生まれた年を入れないと進めない</t>
        </is>
      </c>
      <c r="E4" s="11" t="inlineStr">
        <is>
          <t>「はじめる」→ 生まれた年を空のまま →「1990」と入れる</t>
        </is>
      </c>
      <c r="F4" s="11" t="inlineStr">
        <is>
          <t>空のときは「次へ」が押せない。「1990」と入れると押せる</t>
        </is>
      </c>
      <c r="G4" s="11" t="inlineStr">
        <is>
          <t>確認済み（Chromium・幅390）</t>
        </is>
      </c>
      <c r="H4" s="12" t="n"/>
      <c r="I4" s="13" t="n"/>
    </row>
    <row r="5">
      <c r="A5" s="10" t="n">
        <v>4</v>
      </c>
      <c r="B5" s="11" t="inlineStr">
        <is>
          <t>はじめの質問</t>
        </is>
      </c>
      <c r="C5" s="10" t="inlineStr"/>
      <c r="D5" s="11" t="inlineStr">
        <is>
          <t>年表の区切りを選ぶ</t>
        </is>
      </c>
      <c r="E5" s="11" t="inlineStr">
        <is>
          <t>「5年ごと」を選んで「次へ」</t>
        </is>
      </c>
      <c r="F5" s="11" t="inlineStr">
        <is>
          <t>「今、仕事をしていますか？」（仕事をしている／休職中／仕事をしていない）の画面へ。上に章のボタン5つ（就労状況・日常生活状況・出来事カード収集・通院の記録・出来事カード配置）が出る</t>
        </is>
      </c>
      <c r="G5" s="11" t="inlineStr">
        <is>
          <t>確認済み（Chromium・幅390）</t>
        </is>
      </c>
      <c r="H5" s="12" t="n"/>
      <c r="I5" s="13" t="n"/>
    </row>
    <row r="6">
      <c r="A6" s="10" t="n">
        <v>5</v>
      </c>
      <c r="B6" s="11" t="inlineStr">
        <is>
          <t>第1章 就労</t>
        </is>
      </c>
      <c r="C6" s="10" t="inlineStr"/>
      <c r="D6" s="11" t="inlineStr">
        <is>
          <t>仕事をしていない理由を1問ずつ聞く</t>
        </is>
      </c>
      <c r="E6" s="11" t="inlineStr">
        <is>
          <t>「仕事をしていない」→「次へ」。1問目に「はい」、残りは「いいえ」</t>
        </is>
      </c>
      <c r="F6" s="11" t="inlineStr">
        <is>
          <t>「1 / 8 体力や気力に、自信がないですか」と「はい」「いいえ」。答えるたびに次の質問が下に足され、8問で終わる。答えた質問の答えはあとから押し直せる。「残りの質問はとばして、日常生活状況へ →」で残りを飛ばせる。8問目のあと「今の生活について教えてください」へ</t>
        </is>
      </c>
      <c r="G6" s="11" t="inlineStr">
        <is>
          <t>確認済み（Chromium・幅390）</t>
        </is>
      </c>
      <c r="H6" s="12" t="n"/>
      <c r="I6" s="13" t="n"/>
    </row>
    <row r="7">
      <c r="A7" s="10" t="n">
        <v>6</v>
      </c>
      <c r="B7" s="11" t="inlineStr">
        <is>
          <t>第2章 日常生活</t>
        </is>
      </c>
      <c r="C7" s="10" t="inlineStr"/>
      <c r="D7" s="11" t="inlineStr">
        <is>
          <t>日常生活10項目を4択で答える</t>
        </is>
      </c>
      <c r="E7" s="11" t="inlineStr">
        <is>
          <t>「はじめる」→ 着替え・トイレ・食事…の10問を、できる／まあできる／援助があれば／できないで答える</t>
        </is>
      </c>
      <c r="F7" s="11" t="inlineStr">
        <is>
          <t>「1 / 10 着替え」から1問ずつ出る。10問目のあと「その他、生活で困っていることは？」へ。答えは下書きの「日常生活状況」に1〜4の印で出る</t>
        </is>
      </c>
      <c r="G7" s="11" t="inlineStr">
        <is>
          <t>確認済み（Chromium・幅390）</t>
        </is>
      </c>
      <c r="H7" s="12" t="n"/>
      <c r="I7" s="13" t="n"/>
    </row>
    <row r="8">
      <c r="A8" s="10" t="n">
        <v>7</v>
      </c>
      <c r="B8" s="11" t="inlineStr">
        <is>
          <t>第2章 日常生活</t>
        </is>
      </c>
      <c r="C8" s="10" t="inlineStr"/>
      <c r="D8" s="11" t="inlineStr">
        <is>
          <t>その他の困りごと（9つのチェック）</t>
        </is>
      </c>
      <c r="E8" s="11" t="inlineStr">
        <is>
          <t>「睡眠の問題がある」にチェック →「出来事カード収集へ」</t>
        </is>
      </c>
      <c r="F8" s="11" t="inlineStr">
        <is>
          <t>チェックに印が付く。下書きの「その他」と、Excelの「裏」に「睡眠の問題がある」と出る</t>
        </is>
      </c>
      <c r="G8" s="11" t="inlineStr">
        <is>
          <t>確認済み（Chromium・幅390）</t>
        </is>
      </c>
      <c r="H8" s="12" t="n"/>
      <c r="I8" s="13" t="n"/>
    </row>
    <row r="9">
      <c r="A9" s="10" t="n">
        <v>8</v>
      </c>
      <c r="B9" s="11" t="inlineStr">
        <is>
          <t>第3章 出来事</t>
        </is>
      </c>
      <c r="C9" s="10" t="inlineStr"/>
      <c r="D9" s="11" t="inlineStr">
        <is>
          <t>出来事カードを選ぶ（同じ出来事は何回でも足せる）</t>
        </is>
      </c>
      <c r="E9" s="11" t="inlineStr">
        <is>
          <t>「就職」の「＋ 追加」を1回押す。「長期欠勤」にチェック →「次へ」</t>
        </is>
      </c>
      <c r="F9" s="11" t="inlineStr">
        <is>
          <t>「就職①」が足される（削除もできる）。次の画面「選んだ出来事です」に「就職①」「長期欠勤」</t>
        </is>
      </c>
      <c r="G9" s="11" t="inlineStr">
        <is>
          <t>確認済み（Chromium・幅390）</t>
        </is>
      </c>
      <c r="H9" s="12" t="n"/>
      <c r="I9" s="13" t="n"/>
    </row>
    <row r="10">
      <c r="A10" s="10" t="n">
        <v>9</v>
      </c>
      <c r="B10" s="11" t="inlineStr">
        <is>
          <t>第4章 通院</t>
        </is>
      </c>
      <c r="C10" s="10" t="inlineStr"/>
      <c r="D10" s="11" t="inlineStr">
        <is>
          <t>通院の記録を1件入れる</t>
        </is>
      </c>
      <c r="E10" s="11" t="inlineStr">
        <is>
          <t>病院名「架空こころクリニック」→ いつから 2018年4月・「今も通院中」にチェック → 確かさ「たぶん合っている」→「この内容で記録する」</t>
        </is>
      </c>
      <c r="F10" s="11" t="inlineStr">
        <is>
          <t>「通院の記録が集まりました」に「2018年4月〜現在」「たぶん」「架空こころクリニック」と、「この通院記録を修正する →」「削除する」</t>
        </is>
      </c>
      <c r="G10" s="11" t="inlineStr">
        <is>
          <t>確認済み（Chromium・幅390）</t>
        </is>
      </c>
      <c r="H10" s="12" t="n"/>
      <c r="I10" s="13" t="n"/>
    </row>
    <row r="11">
      <c r="A11" s="14" t="n">
        <v>10</v>
      </c>
      <c r="B11" s="15" t="inlineStr">
        <is>
          <t>第4章 通院</t>
        </is>
      </c>
      <c r="C11" s="16" t="inlineStr">
        <is>
          <t>★</t>
        </is>
      </c>
      <c r="D11" s="15" t="inlineStr">
        <is>
          <t>通院していない時期（空白）を自動で見つける</t>
        </is>
      </c>
      <c r="E11" s="11" t="inlineStr">
        <is>
          <t>「病院を追加する」→「架空メンタルクリニックB」2010年4月〜2013年3月・確かさ「資料で確認した」→ 記録する</t>
        </is>
      </c>
      <c r="F11" s="11" t="inlineStr">
        <is>
          <t>一覧に「2013年3月頃〜2018年4月頃は、通院していない時期です」「理由が未確認」。下に「通院していない時期が1件見つかりました。そのうち1件、まだ理由を確認していません。」と「この内容で通院空白を確認する」ボタン</t>
        </is>
      </c>
      <c r="G11" s="11" t="inlineStr">
        <is>
          <t>確認済み（Chromium・幅390）</t>
        </is>
      </c>
      <c r="H11" s="12" t="n"/>
      <c r="I11" s="13" t="n"/>
    </row>
    <row r="12">
      <c r="A12" s="10" t="n">
        <v>11</v>
      </c>
      <c r="B12" s="11" t="inlineStr">
        <is>
          <t>第4章 通院</t>
        </is>
      </c>
      <c r="C12" s="10" t="inlineStr"/>
      <c r="D12" s="11" t="inlineStr">
        <is>
          <t>空白の時期の理由を答える</t>
        </is>
      </c>
      <c r="E12" s="11" t="inlineStr">
        <is>
          <t>「この内容で通院空白を確認する」→「症状が落ち着いていた」にチェック →「次へ」</t>
        </is>
      </c>
      <c r="F12" s="11" t="inlineStr">
        <is>
          <t>選んだ直後に「まだ保存していない選択です。「次へ」を押すと保存されます。」。「次へ」で一覧に戻り、空白の時期が「理由を確認済み」になる</t>
        </is>
      </c>
      <c r="G12" s="11" t="inlineStr">
        <is>
          <t>確認済み（Chromium・幅390）</t>
        </is>
      </c>
      <c r="H12" s="12" t="n"/>
      <c r="I12" s="13" t="n"/>
    </row>
    <row r="13">
      <c r="A13" s="10" t="n">
        <v>12</v>
      </c>
      <c r="B13" s="11" t="inlineStr">
        <is>
          <t>第5章 年表</t>
        </is>
      </c>
      <c r="C13" s="10" t="inlineStr"/>
      <c r="D13" s="11" t="inlineStr">
        <is>
          <t>出来事を年表に置く</t>
        </is>
      </c>
      <c r="E13" s="11" t="inlineStr">
        <is>
          <t>「出来事カード配置へ」→「はじめる」→ 手札の「就職①」をタップ →「2010〜2015年」の帯をタップ。「長期欠勤」→「2015〜2020年」</t>
        </is>
      </c>
      <c r="F13" s="11" t="inlineStr">
        <is>
          <t>カードがその帯に置かれ、手札から消える。帯には「通院」のバーも出ている</t>
        </is>
      </c>
      <c r="G13" s="11" t="inlineStr">
        <is>
          <t>確認済み（Chromium・幅390）</t>
        </is>
      </c>
      <c r="H13" s="12" t="n"/>
      <c r="I13" s="13" t="n"/>
    </row>
    <row r="14">
      <c r="A14" s="10" t="n">
        <v>13</v>
      </c>
      <c r="B14" s="11" t="inlineStr">
        <is>
          <t>第5章 年表</t>
        </is>
      </c>
      <c r="C14" s="10" t="inlineStr"/>
      <c r="D14" s="11" t="inlineStr">
        <is>
          <t>「年表ができました」の画面</t>
        </is>
      </c>
      <c r="E14" s="11" t="inlineStr">
        <is>
          <t>「年表へ」</t>
        </is>
      </c>
      <c r="F14" s="11" t="inlineStr">
        <is>
          <t>「年表ができました」。帯ごとに「通院：架空メンタルクリニックB」などと置いた出来事。「2013年3月頃〜2018年4月頃は、通院していない時期です」。初めて来たときは「下書きを確認すると「認定日ごろの状況」と「障害者手帳」を入力できるようになります。」の案内。下に「申立書の下書きを確認する →」と、開閉できる4項目</t>
        </is>
      </c>
      <c r="G14" s="11" t="inlineStr">
        <is>
          <t>確認済み（Chromium・幅390）</t>
        </is>
      </c>
      <c r="H14" s="12" t="n"/>
      <c r="I14" s="13" t="n"/>
    </row>
    <row r="15">
      <c r="A15" s="14" t="n">
        <v>14</v>
      </c>
      <c r="B15" s="15" t="inlineStr">
        <is>
          <t>下書き</t>
        </is>
      </c>
      <c r="C15" s="16" t="inlineStr">
        <is>
          <t>★</t>
        </is>
      </c>
      <c r="D15" s="15" t="inlineStr">
        <is>
          <t>下書きの期間の行が、記録どおりに作られる</t>
        </is>
      </c>
      <c r="E15" s="11" t="inlineStr">
        <is>
          <t>「申立書の下書きを確認する →」</t>
        </is>
      </c>
      <c r="F15" s="11" t="inlineStr">
        <is>
          <t>4行になる。1：平成22年4月〜平成25年3月・受診した・架空メンタルクリニックB「…に通院。この頃の出来事：就職①。」／2：平成25年3月〜平成30年4月・受診していない「通院せず。理由：症状が落ち着いていた。この頃の出来事：長期欠勤。」／3：平成30年4月〜令和5年4月・架空こころクリニック／4：令和5年4月〜（今の年月）・「…現在も通院中。」。上の章のボタンに「認定日ごろ」「障害者手帳」「下書き」が増える</t>
        </is>
      </c>
      <c r="G15" s="11" t="inlineStr">
        <is>
          <t>確認済み（Chromium・幅390）</t>
        </is>
      </c>
      <c r="H15" s="12" t="n"/>
      <c r="I15" s="13" t="n"/>
    </row>
    <row r="16">
      <c r="A16" s="14" t="n">
        <v>15</v>
      </c>
      <c r="B16" s="15" t="inlineStr">
        <is>
          <t>下書き</t>
        </is>
      </c>
      <c r="C16" s="16" t="inlineStr">
        <is>
          <t>★</t>
        </is>
      </c>
      <c r="D16" s="15" t="inlineStr">
        <is>
          <t>5年を超える期間を3〜5年ごとに区切る（記載要領のルール）</t>
        </is>
      </c>
      <c r="E16" s="11" t="inlineStr">
        <is>
          <t>上の続き（区切りは5年ごと）</t>
        </is>
      </c>
      <c r="F16" s="11" t="inlineStr">
        <is>
          <t>2018年4月〜現在（8年あまり）は、5年＋残りの2行に分かれる。空白の2013年3月〜2018年4月（5年1か月）は1行のまま。区切ると最後が1か月になるため、7か月未満の端数は前の行に含める作り（意図した動き）</t>
        </is>
      </c>
      <c r="G16" s="11" t="inlineStr">
        <is>
          <t>確認済み（Chromium・幅390）</t>
        </is>
      </c>
      <c r="H16" s="12" t="n"/>
      <c r="I16" s="13" t="n"/>
    </row>
    <row r="17">
      <c r="A17" s="10" t="n">
        <v>16</v>
      </c>
      <c r="B17" s="11" t="inlineStr">
        <is>
          <t>下書き</t>
        </is>
      </c>
      <c r="C17" s="10" t="inlineStr"/>
      <c r="D17" s="11" t="inlineStr">
        <is>
          <t>区切りが3年ごとのとき</t>
        </is>
      </c>
      <c r="E17" s="11" t="inlineStr">
        <is>
          <t>生まれた年1980・「3年ごと」・通院1件（2001年4月〜今も通院中）で下書きを見る</t>
        </is>
      </c>
      <c r="F17" s="11" t="inlineStr">
        <is>
          <t>期間の行が3年ずつに分かれ、9行になる（最後の端数が7か月以上なら別の行）</t>
        </is>
      </c>
      <c r="G17" s="11" t="inlineStr">
        <is>
          <t>確認済み（Chromium・幅390）</t>
        </is>
      </c>
      <c r="H17" s="12" t="n"/>
      <c r="I17" s="13" t="n"/>
    </row>
    <row r="18">
      <c r="A18" s="14" t="n">
        <v>17</v>
      </c>
      <c r="B18" s="15" t="inlineStr">
        <is>
          <t>下書き</t>
        </is>
      </c>
      <c r="C18" s="16" t="inlineStr">
        <is>
          <t>★</t>
        </is>
      </c>
      <c r="D18" s="15" t="inlineStr">
        <is>
          <t>元号の切り替わり（平成→令和）</t>
        </is>
      </c>
      <c r="E18" s="11" t="inlineStr">
        <is>
          <t>通院を2件：2017年6月〜2019年4月、2019年5月〜2020年3月</t>
        </is>
      </c>
      <c r="F18" s="11" t="inlineStr">
        <is>
          <t>1行目「平成29年6月から平成31年4月まで」、2行目「令和1年5月から令和2年3月まで」</t>
        </is>
      </c>
      <c r="G18" s="11" t="inlineStr">
        <is>
          <t>確認済み（Chromium・幅390）</t>
        </is>
      </c>
      <c r="H18" s="12" t="n"/>
      <c r="I18" s="13" t="n"/>
    </row>
    <row r="19">
      <c r="A19" s="10" t="n">
        <v>18</v>
      </c>
      <c r="B19" s="11" t="inlineStr">
        <is>
          <t>下書き</t>
        </is>
      </c>
      <c r="C19" s="10" t="inlineStr"/>
      <c r="D19" s="11" t="inlineStr">
        <is>
          <t>「生年からの形式」に切り替える</t>
        </is>
      </c>
      <c r="E19" s="11" t="inlineStr">
        <is>
          <t>下書きの「申立書の形式」で「生年からの形式」を押す（生まれた年1990）</t>
        </is>
      </c>
      <c r="F19" s="11" t="inlineStr">
        <is>
          <t>先頭に、生まれてから15歳ごろまでの行が入る：平成2年〜平成8年「就学前。」／平成8年〜平成14年「小学校。」／平成14年〜平成17年「中学校。」（受診していない側）</t>
        </is>
      </c>
      <c r="G19" s="11" t="inlineStr">
        <is>
          <t>確認済み（Chromium・幅390）</t>
        </is>
      </c>
      <c r="H19" s="12" t="n"/>
      <c r="I19" s="13" t="n"/>
    </row>
    <row r="20">
      <c r="A20" s="10" t="n">
        <v>19</v>
      </c>
      <c r="B20" s="11" t="inlineStr">
        <is>
          <t>下書き</t>
        </is>
      </c>
      <c r="C20" s="10" t="inlineStr"/>
      <c r="D20" s="11" t="inlineStr">
        <is>
          <t>傷病名・発病日・初診日は扱わない</t>
        </is>
      </c>
      <c r="E20" s="11" t="inlineStr">
        <is>
          <t>下書きを見る。Excelを開く</t>
        </is>
      </c>
      <c r="F20" s="11" t="inlineStr">
        <is>
          <t>傷病名・発病日・初診日は「未入力（このWebアプリでは対応していません）」。Excelでも空欄のまま（意図した動き）</t>
        </is>
      </c>
      <c r="G20" s="11" t="inlineStr">
        <is>
          <t>確認済み（Chromium・幅390）</t>
        </is>
      </c>
      <c r="H20" s="12" t="n"/>
      <c r="I20" s="13" t="n"/>
    </row>
    <row r="21">
      <c r="A21" s="14" t="n">
        <v>20</v>
      </c>
      <c r="B21" s="15" t="inlineStr">
        <is>
          <t>Excel</t>
        </is>
      </c>
      <c r="C21" s="16" t="inlineStr">
        <is>
          <t>★</t>
        </is>
      </c>
      <c r="D21" s="15" t="inlineStr">
        <is>
          <t>申立書のExcelが様式どおりに書かれる</t>
        </is>
      </c>
      <c r="E21" s="11" t="inlineStr">
        <is>
          <t>上の4行の状態で「申立書（Excel）をダウンロード」</t>
        </is>
      </c>
      <c r="F21" s="11" t="inlineStr">
        <is>
          <t>「病歴・就労状況等申立書.xlsx」が1つ。シートは「表」「裏」（どちらも保護されている）。表：期間の元号・年・月、病院名、「受診した／受診していない」の「レ」、本文。裏：仕事をしていない理由の「ア」に「レ」、日常生活10項目の「レ」、その他に「睡眠の問題がある」。現在も通院中の行の終わりは、出力した日の年月日</t>
        </is>
      </c>
      <c r="G21" s="11" t="inlineStr">
        <is>
          <t>確認済み（Chromium・幅390）</t>
        </is>
      </c>
      <c r="H21" s="12" t="n"/>
      <c r="I21" s="13" t="n"/>
    </row>
    <row r="22">
      <c r="A22" s="14" t="n">
        <v>21</v>
      </c>
      <c r="B22" s="15" t="inlineStr">
        <is>
          <t>Excel</t>
        </is>
      </c>
      <c r="C22" s="16" t="inlineStr">
        <is>
          <t>★</t>
        </is>
      </c>
      <c r="D22" s="15" t="inlineStr">
        <is>
          <t>6行目からは続紙のExcelになる</t>
        </is>
      </c>
      <c r="E22" s="11" t="inlineStr">
        <is>
          <t>9行の状態（3年ごとの例）で下書きを見る →「申立書（Excel）」→「続紙（Excel）」の順に押す</t>
        </is>
      </c>
      <c r="F22" s="11" t="inlineStr">
        <is>
          <t>画面に「この下書きは、申立書と続紙の2つのファイルになります。1つずつダウンロードしてください。」とボタン2つ。申立書に1〜5行目、「病歴・就労状況等申立書(続紙).xlsx」に6〜9行目</t>
        </is>
      </c>
      <c r="G22" s="11" t="inlineStr">
        <is>
          <t>確認済み（Chromium・幅390）</t>
        </is>
      </c>
      <c r="H22" s="12" t="n"/>
      <c r="I22" s="13" t="n"/>
    </row>
    <row r="23">
      <c r="A23" s="14" t="n">
        <v>22</v>
      </c>
      <c r="B23" s="15" t="inlineStr">
        <is>
          <t>保存・再開</t>
        </is>
      </c>
      <c r="C23" s="16" t="inlineStr">
        <is>
          <t>★</t>
        </is>
      </c>
      <c r="D23" s="15" t="inlineStr">
        <is>
          <t>入力は自動で保存され、開き直すと続きから再開できる</t>
        </is>
      </c>
      <c r="E23" s="11" t="inlineStr">
        <is>
          <t>途中まで入力 → ページを再読み込み（またはタブを閉じて開き直す）</t>
        </is>
      </c>
      <c r="F23" s="11" t="inlineStr">
        <is>
          <t>「前回の続きがあります」「この端末に、前回入力した内容が保存されています（○年○月○日 ○:○時点）。続きから再開しますか？」。下の帯に「最初からやり直す」「続きから再開する」、リンク「DL保存したファイルから戻す」</t>
        </is>
      </c>
      <c r="G23" s="11" t="inlineStr">
        <is>
          <t>確認済み（Chromium・幅390）</t>
        </is>
      </c>
      <c r="H23" s="12" t="n"/>
      <c r="I23" s="13" t="n"/>
    </row>
    <row r="24">
      <c r="A24" s="10" t="n">
        <v>23</v>
      </c>
      <c r="B24" s="11" t="inlineStr">
        <is>
          <t>保存・再開</t>
        </is>
      </c>
      <c r="C24" s="10" t="inlineStr"/>
      <c r="D24" s="11" t="inlineStr">
        <is>
          <t>DL保存（ファイルとして端末に保存）</t>
        </is>
      </c>
      <c r="E24" s="11" t="inlineStr">
        <is>
          <t>下の帯の「DL保存」</t>
        </is>
      </c>
      <c r="F24" s="11" t="inlineStr">
        <is>
          <t>「申立書サポート_年月日_時分.json」がダウンロードされる</t>
        </is>
      </c>
      <c r="G24" s="11" t="inlineStr">
        <is>
          <t>確認済み（Chromium・幅390）</t>
        </is>
      </c>
      <c r="H24" s="12" t="n"/>
      <c r="I24" s="13" t="n"/>
    </row>
    <row r="25">
      <c r="A25" s="10" t="n">
        <v>24</v>
      </c>
      <c r="B25" s="11" t="inlineStr">
        <is>
          <t>保存・再開</t>
        </is>
      </c>
      <c r="C25" s="10" t="inlineStr"/>
      <c r="D25" s="11" t="inlineStr">
        <is>
          <t>内容が変わっていなければ、DL保存のファイルを増やさない</t>
        </is>
      </c>
      <c r="E25" s="11" t="inlineStr">
        <is>
          <t>何も変えずに、もう一度「DL保存」</t>
        </is>
      </c>
      <c r="F25" s="11" t="inlineStr">
        <is>
          <t>ファイルは増えない。下に「前回の保存から内容は変わっていません。ファイルは増やしていません。もう一度押すと保存します。」</t>
        </is>
      </c>
      <c r="G25" s="11" t="inlineStr">
        <is>
          <t>ファイルが増えないのは確認済み（Chromium）。文はコードから</t>
        </is>
      </c>
      <c r="H25" s="12" t="n"/>
      <c r="I25" s="13" t="n"/>
    </row>
    <row r="26">
      <c r="A26" s="10" t="n">
        <v>25</v>
      </c>
      <c r="B26" s="11" t="inlineStr">
        <is>
          <t>保存・再開</t>
        </is>
      </c>
      <c r="C26" s="10" t="inlineStr"/>
      <c r="D26" s="11" t="inlineStr">
        <is>
          <t>DL保存のファイルから戻す（端末にデータが無いとき）</t>
        </is>
      </c>
      <c r="E26" s="11" t="inlineStr">
        <is>
          <t>別のブラウザ（またはシークレットウィンドウ）で開く →「DL保存したファイルから再開する」→ 上のファイルを選ぶ →「この内容で戻す」</t>
        </is>
      </c>
      <c r="F26" s="11" t="inlineStr">
        <is>
          <t>「このファイルから戻しますか」「このファイルは ○年○月○日 ○:○ に保存されたものです。」。「この内容で戻す」で、保存したときの画面（例：下書き）に戻る</t>
        </is>
      </c>
      <c r="G26" s="11" t="inlineStr">
        <is>
          <t>確認済み（Chromium・幅390）</t>
        </is>
      </c>
      <c r="H26" s="12" t="n"/>
      <c r="I26" s="13" t="n"/>
    </row>
    <row r="27">
      <c r="A27" s="10" t="n">
        <v>26</v>
      </c>
      <c r="B27" s="11" t="inlineStr">
        <is>
          <t>保存・再開</t>
        </is>
      </c>
      <c r="C27" s="10" t="inlineStr"/>
      <c r="D27" s="11" t="inlineStr">
        <is>
          <t>DL保存のファイルから戻す（端末にデータがあるとき）</t>
        </is>
      </c>
      <c r="E27" s="11" t="inlineStr">
        <is>
          <t>再開の画面の「DL保存したファイルから戻す」→ ファイルを選ぶ</t>
        </is>
      </c>
      <c r="F27" s="11" t="inlineStr">
        <is>
          <t>確認の画面に「いま端末にある入力内容は、これで置きかわります。」が加わる。「この内容で戻す」で置きかわる。「やめる」なら何も変わらない</t>
        </is>
      </c>
      <c r="G27" s="11" t="inlineStr">
        <is>
          <t>「この内容で戻す」は確認済み（Chromium）。「やめる」はコードから</t>
        </is>
      </c>
      <c r="H27" s="12" t="n"/>
      <c r="I27" s="13" t="n"/>
    </row>
    <row r="28">
      <c r="A28" s="10" t="n">
        <v>27</v>
      </c>
      <c r="B28" s="11" t="inlineStr">
        <is>
          <t>保存・再開</t>
        </is>
      </c>
      <c r="C28" s="10" t="inlineStr"/>
      <c r="D28" s="11" t="inlineStr">
        <is>
          <t>このアプリ以外のファイルは読み込まない</t>
        </is>
      </c>
      <c r="E28" s="11" t="inlineStr">
        <is>
          <t>中身が {"hello":"world"} だけの .json ファイルを選ぶ</t>
        </is>
      </c>
      <c r="F28" s="11" t="inlineStr">
        <is>
          <t>「このアプリのファイルではないようです。」と出て、何も変わらない</t>
        </is>
      </c>
      <c r="G28" s="11" t="inlineStr">
        <is>
          <t>確認済み（Chromium・幅390）</t>
        </is>
      </c>
      <c r="H28" s="12" t="n"/>
      <c r="I28" s="13" t="n"/>
    </row>
    <row r="29">
      <c r="A29" s="10" t="n">
        <v>28</v>
      </c>
      <c r="B29" s="11" t="inlineStr">
        <is>
          <t>保存・再開</t>
        </is>
      </c>
      <c r="C29" s="10" t="inlineStr"/>
      <c r="D29" s="11" t="inlineStr">
        <is>
          <t>最初からやり直す前に確かめる</t>
        </is>
      </c>
      <c r="E29" s="11" t="inlineStr">
        <is>
          <t>下書き画面の「最初からやり直す」→ 確認で「キャンセル」</t>
        </is>
      </c>
      <c r="F29" s="11" t="inlineStr">
        <is>
          <t>確認「保存されている入力内容を削除して、最初からやり直します（「生活状況をふりかえる」の内容は消えません）。よろしいですか？」。キャンセルなら何も変わらない</t>
        </is>
      </c>
      <c r="G29" s="11" t="inlineStr">
        <is>
          <t>確認済み（Chromium・幅390）</t>
        </is>
      </c>
      <c r="H29" s="12" t="n"/>
      <c r="I29" s="13" t="n"/>
    </row>
    <row r="30">
      <c r="A30" s="14" t="n">
        <v>29</v>
      </c>
      <c r="B30" s="15" t="inlineStr">
        <is>
          <t>保存・再開</t>
        </is>
      </c>
      <c r="C30" s="16" t="inlineStr">
        <is>
          <t>★★</t>
        </is>
      </c>
      <c r="D30" s="15" t="inlineStr">
        <is>
          <t>【既知の不具合】2つのタブで開くと、古いタブが新しい入力を消す</t>
        </is>
      </c>
      <c r="E30" s="11" t="inlineStr">
        <is>
          <t>タブAで出来事カードの画面まで進める。同じ端末でタブBを開き「続きから再開する」→「留年」にチェック。タブAに戻って「死別」にチェック。開き直して出来事を見る</t>
        </is>
      </c>
      <c r="F30" s="11" t="inlineStr">
        <is>
          <t>望ましい結果：「留年」も「死別」も残る（または、タブAで「別の画面で新しい内容が保存されています」と知らせる）。今の動き：保存に残るのは「就職①」「死別」だけで、タブBの「留年」が消える</t>
        </is>
      </c>
      <c r="G30" s="11" t="inlineStr">
        <is>
          <t>再現した（Chromium）</t>
        </is>
      </c>
      <c r="H30" s="12" t="n"/>
      <c r="I30" s="13" t="n"/>
    </row>
    <row r="31">
      <c r="A31" s="10" t="n">
        <v>30</v>
      </c>
      <c r="B31" s="11" t="inlineStr">
        <is>
          <t>生活状況をふりかえる</t>
        </is>
      </c>
      <c r="C31" s="10" t="inlineStr"/>
      <c r="D31" s="11" t="inlineStr">
        <is>
          <t>詳しくふりかえる画面が別のタブで開く</t>
        </is>
      </c>
      <c r="E31" s="11" t="inlineStr">
        <is>
          <t>日常生活の質問「着替え」で「「着替え」を詳しくふりかえる →」</t>
        </is>
      </c>
      <c r="F31" s="11" t="inlineStr">
        <is>
          <t>別のタブで「生活状況をふりかえる」の着替えのページが開く（「現在について」「今日は「着替え」について…」）</t>
        </is>
      </c>
      <c r="G31" s="11" t="inlineStr">
        <is>
          <t>確認済み（Chromium・幅390）</t>
        </is>
      </c>
      <c r="H31" s="12" t="n"/>
      <c r="I31" s="13" t="n"/>
    </row>
    <row r="32">
      <c r="A32" s="10" t="n">
        <v>31</v>
      </c>
      <c r="B32" s="11" t="inlineStr">
        <is>
          <t>生活状況をふりかえる</t>
        </is>
      </c>
      <c r="C32" s="10" t="inlineStr"/>
      <c r="D32" s="11" t="inlineStr">
        <is>
          <t>ふりかえりの画面で答える</t>
        </is>
      </c>
      <c r="E32" s="11" t="inlineStr">
        <is>
          <t>開いたページで、チェックの画面は何も選ばずに「次へ」。「生活状況を選ぶ」の画面で4つから1つ選ぶ →「生活状況の一覧へ戻る」</t>
        </is>
      </c>
      <c r="F32" s="11" t="inlineStr">
        <is>
          <t>最後の画面の枠に選んだ答えが出る。一覧で、その項目の右が「未着手」から番号と答え（例：「1 できる」）に変わり、いちばん上の「10項目中 ○項目 完了」が1つ増える</t>
        </is>
      </c>
      <c r="G32" s="11" t="inlineStr">
        <is>
          <t>以前の実機確認の記録から（今回は未確認）</t>
        </is>
      </c>
      <c r="H32" s="12" t="n"/>
      <c r="I32" s="13" t="n"/>
    </row>
    <row r="33">
      <c r="A33" s="14" t="n">
        <v>32</v>
      </c>
      <c r="B33" s="15" t="inlineStr">
        <is>
          <t>生活状況をふりかえる</t>
        </is>
      </c>
      <c r="C33" s="16" t="inlineStr">
        <is>
          <t>★</t>
        </is>
      </c>
      <c r="D33" s="15" t="inlineStr">
        <is>
          <t>ふりかえりの答えは「取り込む」を押したときだけ反映される</t>
        </is>
      </c>
      <c r="E33" s="11" t="inlineStr">
        <is>
          <t>ふりかえりで答えたあと、本体の日常生活の画面（一覧の形）に戻る →「取り込む」</t>
        </is>
      </c>
      <c r="F33" s="11" t="inlineStr">
        <is>
          <t>「ふりかえりの結果」に「着替え：まあできる → できる」「トイレ：（未選択） → 援助があれば」のような一覧と「取り込むボタンで上記項目を取り込めます」。すでに選んでいる項目があれば「すでに選んでいる内容は上書きされます。」。「取り込む」を押すとその答えになる。押さなければ変わらない（自動では反映しない）</t>
        </is>
      </c>
      <c r="G33" s="11" t="inlineStr">
        <is>
          <t>確認済み（Chromium。ふりかえりの答えは保存場所に直接入れて試した）</t>
        </is>
      </c>
      <c r="H33" s="12" t="n"/>
      <c r="I33" s="13" t="n"/>
    </row>
    <row r="34">
      <c r="A34" s="14" t="n">
        <v>33</v>
      </c>
      <c r="B34" s="15" t="inlineStr">
        <is>
          <t>プライバシー</t>
        </is>
      </c>
      <c r="C34" s="16" t="inlineStr">
        <is>
          <t>★</t>
        </is>
      </c>
      <c r="D34" s="15" t="inlineStr">
        <is>
          <t>入力した内容を外へ送らない</t>
        </is>
      </c>
      <c r="E34" s="11" t="inlineStr">
        <is>
          <t>開発者ツールのネットワークを開いて、最初から下書き・Excel出力・DL保存・ファイルから戻すまで操作する</t>
        </is>
      </c>
      <c r="F34" s="11" t="inlineStr">
        <is>
          <t>通信は、ページ（と、同じ公開元のファイル）を開くときだけ。入力やボタンの操作で、外への通信は起きない</t>
        </is>
      </c>
      <c r="G34" s="11" t="inlineStr">
        <is>
          <t>確認済み（Chromium。通信はページを開いた1回だけ）</t>
        </is>
      </c>
      <c r="H34" s="12" t="n"/>
      <c r="I34" s="13" t="n"/>
    </row>
    <row r="35">
      <c r="A35" s="10" t="n">
        <v>34</v>
      </c>
      <c r="B35" s="11" t="inlineStr">
        <is>
          <t>プライバシー</t>
        </is>
      </c>
      <c r="C35" s="10" t="inlineStr"/>
      <c r="D35" s="11" t="inlineStr">
        <is>
          <t>入力した文字が、HTMLとして動かない</t>
        </is>
      </c>
      <c r="E35" s="11" t="inlineStr">
        <is>
          <t>病院名に「&lt;b&gt;太字&lt;/b&gt;&lt;img src=x onerror=alert(1)&gt;」と入れて記録する</t>
        </is>
      </c>
      <c r="F35" s="11" t="inlineStr">
        <is>
          <t>そのままの文字で表示される。太字や画像にならず、アラートも出ない</t>
        </is>
      </c>
      <c r="G35" s="11" t="inlineStr">
        <is>
          <t>確認済み（Chromium・幅390）</t>
        </is>
      </c>
      <c r="H35" s="12" t="n"/>
      <c r="I35" s="13" t="n"/>
    </row>
    <row r="36">
      <c r="A36" s="10" t="n">
        <v>35</v>
      </c>
      <c r="B36" s="11" t="inlineStr">
        <is>
          <t>レイアウト</t>
        </is>
      </c>
      <c r="C36" s="10" t="inlineStr"/>
      <c r="D36" s="11" t="inlineStr">
        <is>
          <t>スマホの幅で、横にはみ出さない</t>
        </is>
      </c>
      <c r="E36" s="11" t="inlineStr">
        <is>
          <t>幅320と390で主な画面を開く（最初・区切り・就労・日常生活・その他・出来事・通院の期間・通院の一覧・配置・年表ができました・下書き）</t>
        </is>
      </c>
      <c r="F36" s="11" t="inlineStr">
        <is>
          <t>どの画面でも横スクロールが出ない</t>
        </is>
      </c>
      <c r="G36" s="11" t="inlineStr">
        <is>
          <t>確認済み（Chromium・幅390と320）</t>
        </is>
      </c>
      <c r="H36" s="12" t="n"/>
      <c r="I36" s="13" t="n"/>
    </row>
    <row r="37">
      <c r="A37" s="10" t="n">
        <v>36</v>
      </c>
      <c r="B37" s="11" t="inlineStr">
        <is>
          <t>レイアウト</t>
        </is>
      </c>
      <c r="C37" s="10" t="inlineStr"/>
      <c r="D37" s="11" t="inlineStr">
        <is>
          <t>下の帯のボタン</t>
        </is>
      </c>
      <c r="E37" s="11" t="inlineStr">
        <is>
          <t>各画面の下の帯を見る</t>
        </is>
      </c>
      <c r="F37" s="11" t="inlineStr">
        <is>
          <t>左に「戻る」、真ん中に「DL保存」（丸い小さめのボタン。押し間違いを防ぐため、わざと小さくしてある）、右に進むボタン（画面によって「次へ」「はじめる」「年表へ」など）。最初の画面は「DL保存」と「はじめる」だけ</t>
        </is>
      </c>
      <c r="G37" s="11" t="inlineStr">
        <is>
          <t>確認済み（Chromium・幅390）</t>
        </is>
      </c>
      <c r="H37" s="12" t="n"/>
      <c r="I37" s="13" t="n"/>
    </row>
    <row r="38">
      <c r="A38" s="14" t="n">
        <v>37</v>
      </c>
      <c r="B38" s="15" t="inlineStr">
        <is>
          <t>レイアウト</t>
        </is>
      </c>
      <c r="C38" s="16" t="inlineStr">
        <is>
          <t>★</t>
        </is>
      </c>
      <c r="D38" s="15" t="inlineStr">
        <is>
          <t>【既知】幅320で、出来事カード配置の画面が詰まる</t>
        </is>
      </c>
      <c r="E38" s="11" t="inlineStr">
        <is>
          <t>幅320・高さ568（iPhone SE くらい）で、手札が5枚ある状態の配置画面を開く</t>
        </is>
      </c>
      <c r="F38" s="11" t="inlineStr">
        <is>
          <t>望ましい結果：手札が全部見えて、「手札が残っていても先へ進めます」が重ならない。今の動き：手札は3枚目までしか見えず、4・5枚目は下の帯に隠れる。この文がカードの後ろに重なる。年表は帯2つ分ほどしか見えない（「画面の見本」に画像）</t>
        </is>
      </c>
      <c r="G38" s="11" t="inlineStr">
        <is>
          <t>確認済み（Chromium・幅320）</t>
        </is>
      </c>
      <c r="H38" s="12" t="n"/>
      <c r="I38" s="13" t="n"/>
    </row>
    <row r="39">
      <c r="A39" s="14" t="n">
        <v>38</v>
      </c>
      <c r="B39" s="15" t="inlineStr">
        <is>
          <t>レイアウト</t>
        </is>
      </c>
      <c r="C39" s="16" t="inlineStr">
        <is>
          <t>★</t>
        </is>
      </c>
      <c r="D39" s="15" t="inlineStr">
        <is>
          <t>【既知】押す所が小さい所がある</t>
        </is>
      </c>
      <c r="E39" s="11" t="inlineStr">
        <is>
          <t>幅390で、ボタンやリンクの大きさを測る</t>
        </is>
      </c>
      <c r="F39" s="11" t="inlineStr">
        <is>
          <t>44px（Appleの目安）未満の例：「？」20×20／文字のリンク（「この通院記録を修正する →」など）高さ18／「＋ 追加」69×28／「削除」26×18／「今も通院中」のチェック18×18／日常生活の4択の高さ33。DL保存のボタン（47pxの丸）は、わざと小さくしてある</t>
        </is>
      </c>
      <c r="G39" s="11" t="inlineStr">
        <is>
          <t>確認済み（Chromium・幅390）</t>
        </is>
      </c>
      <c r="H39" s="12" t="n"/>
      <c r="I39" s="13" t="n"/>
    </row>
    <row r="40">
      <c r="A40" s="10" t="n">
        <v>39</v>
      </c>
      <c r="B40" s="11" t="inlineStr">
        <is>
          <t>レイアウト</t>
        </is>
      </c>
      <c r="C40" s="10" t="inlineStr"/>
      <c r="D40" s="11" t="inlineStr">
        <is>
          <t>章のボタンの見え方</t>
        </is>
      </c>
      <c r="E40" s="11" t="inlineStr">
        <is>
          <t>幅390と320で、上の章のボタンを見る</t>
        </is>
      </c>
      <c r="F40" s="11" t="inlineStr">
        <is>
          <t>「出来事カード収集」などは2〜3行に折り返す。下書きまで進むと章のボタンが2段（8個）になる</t>
        </is>
      </c>
      <c r="G40" s="11" t="inlineStr">
        <is>
          <t>確認済み（Chromium・幅390と320）</t>
        </is>
      </c>
      <c r="H40" s="12" t="n"/>
      <c r="I40" s="13" t="n"/>
    </row>
    <row r="41">
      <c r="A41" s="10" t="n">
        <v>40</v>
      </c>
      <c r="B41" s="11" t="inlineStr">
        <is>
          <t>言葉</t>
        </is>
      </c>
      <c r="C41" s="10" t="inlineStr"/>
      <c r="D41" s="11" t="inlineStr">
        <is>
          <t>答えなくても進めること・休んでいいことを伝える</t>
        </is>
      </c>
      <c r="E41" s="11" t="inlineStr">
        <is>
          <t>各章の入口の画面を見る</t>
        </is>
      </c>
      <c r="F41" s="11" t="inlineStr">
        <is>
          <t>「答えなくても次に進めます」と「疲れてきたら、ここまでにしましょう。あとからいつでも続きができます。」が出る</t>
        </is>
      </c>
      <c r="G41" s="11" t="inlineStr">
        <is>
          <t>確認済み（Chromium・幅390）</t>
        </is>
      </c>
      <c r="H41" s="12" t="n"/>
      <c r="I41" s="13" t="n"/>
    </row>
  </sheetData>
  <autoFilter ref="A1:I41"/>
  <conditionalFormatting sqref="H2:H41">
    <cfRule type="cellIs" priority="1" operator="equal" dxfId="0">
      <formula>"NG"</formula>
    </cfRule>
    <cfRule type="cellIs" priority="2" operator="equal" dxfId="1">
      <formula>"OK"</formula>
    </cfRule>
  </conditionalFormatting>
  <dataValidations count="1">
    <dataValidation sqref="H2:H41" showDropDown="0" showInputMessage="0" showErrorMessage="0" allowBlank="1" errorTitle="結果" error="OK／NG／保留／対象外 から選んでください" type="list">
      <formula1>"OK,NG,保留,対象外"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40" customWidth="1" min="3" max="3"/>
    <col width="40" customWidth="1" min="4" max="4"/>
  </cols>
  <sheetData>
    <row r="1">
      <c r="B1" s="17" t="inlineStr">
        <is>
          <t>画面の見本（Chromium・幅390。最後の1枚だけ幅320×高さ568）。架空の内容で入力したもの</t>
        </is>
      </c>
    </row>
    <row r="3" ht="30" customHeight="1">
      <c r="B3" s="4" t="inlineStr">
        <is>
          <t>最初の画面（No.1）</t>
        </is>
      </c>
      <c r="C3" s="4" t="inlineStr">
        <is>
          <t>通院の一覧と空白の時期（No.10・11）</t>
        </is>
      </c>
      <c r="D3" s="4" t="inlineStr">
        <is>
          <t>出来事カード配置（No.12）</t>
        </is>
      </c>
    </row>
    <row r="36" ht="30" customHeight="1">
      <c r="B36" s="4" t="inlineStr">
        <is>
          <t>年表ができました（No.13）</t>
        </is>
      </c>
      <c r="C36" s="4" t="inlineStr">
        <is>
          <t>下書き確認（No.14）</t>
        </is>
      </c>
      <c r="D36" s="4" t="inlineStr">
        <is>
          <t>【既知】幅320の配置画面。4・5枚目の手札が下の帯に隠れ、文が重なる（No.37）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2026-10-23T02:21:36Z</dcterms:created>
  <dcterms:modified xmlns:dcterms="http://purl.org/dc/terms/" xmlns:xsi="http://www.w3.org/2001/XMLSchema-instance" xsi:type="dcterms:W3CDTF">2026-10-23T02:21:36Z</dcterms:modified>
</cp:coreProperties>
</file>